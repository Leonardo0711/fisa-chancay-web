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\Desktop\FISA - PY CHANCAY\"/>
    </mc:Choice>
  </mc:AlternateContent>
  <xr:revisionPtr revIDLastSave="0" documentId="13_ncr:1_{1C9CB8C9-4EE7-474D-B856-EF38F62E66A0}" xr6:coauthVersionLast="47" xr6:coauthVersionMax="47" xr10:uidLastSave="{00000000-0000-0000-0000-000000000000}"/>
  <bookViews>
    <workbookView xWindow="8475" yWindow="-16320" windowWidth="29040" windowHeight="15720" activeTab="2" xr2:uid="{5923A27E-BFD1-47B5-BBDB-31C608F308A0}"/>
  </bookViews>
  <sheets>
    <sheet name="MAESTROS" sheetId="1" r:id="rId1"/>
    <sheet name="INTERFAZ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53" i="2" l="1"/>
  <c r="U52" i="2"/>
</calcChain>
</file>

<file path=xl/sharedStrings.xml><?xml version="1.0" encoding="utf-8"?>
<sst xmlns="http://schemas.openxmlformats.org/spreadsheetml/2006/main" count="221" uniqueCount="101">
  <si>
    <t>COD</t>
  </si>
  <si>
    <t>NOMBRE</t>
  </si>
  <si>
    <t>001</t>
  </si>
  <si>
    <t>BRAZAS</t>
  </si>
  <si>
    <t>002</t>
  </si>
  <si>
    <t>003</t>
  </si>
  <si>
    <t>MAESTRO DE UBICACIONES</t>
  </si>
  <si>
    <t>MAESTRO DE UNIDADES DE MEDIDA</t>
  </si>
  <si>
    <t>UNIDAD</t>
  </si>
  <si>
    <t>GASAS</t>
  </si>
  <si>
    <t>ARGOLLAS</t>
  </si>
  <si>
    <t>CUCHILLA</t>
  </si>
  <si>
    <t>REFUERZO</t>
  </si>
  <si>
    <t>GASA SIMPLE</t>
  </si>
  <si>
    <t>ASEGURADA CRUZADA</t>
  </si>
  <si>
    <t>TIPO_TRABAJO</t>
  </si>
  <si>
    <t>TIPO_UBICACION</t>
  </si>
  <si>
    <t>DESTAJO</t>
  </si>
  <si>
    <t>JORNAL</t>
  </si>
  <si>
    <t>NO UNIVERSAL</t>
  </si>
  <si>
    <t>UNIVERSAL</t>
  </si>
  <si>
    <t>MAESTRO DE UBICACIONES POR PRODUCTO</t>
  </si>
  <si>
    <t>UBICACIÓN</t>
  </si>
  <si>
    <t>PRODUCTO</t>
  </si>
  <si>
    <t>AJAULA-YALELO-19</t>
  </si>
  <si>
    <t>CANTIDAD</t>
  </si>
  <si>
    <t>VALOR_UNITARIO</t>
  </si>
  <si>
    <t>TARIFA_MONEDA_LOCAL</t>
  </si>
  <si>
    <t>---</t>
  </si>
  <si>
    <t>ORDEN DE TRABAJO:</t>
  </si>
  <si>
    <t>&lt;= MENÚ DE AYUDA PARA SELECCIONAR LAS OT DE CONFECCIÓN. HAY QUE DEFINIR CUAL ES EL FILTRO.</t>
  </si>
  <si>
    <t>PRODUCTO:</t>
  </si>
  <si>
    <t>OT00046132</t>
  </si>
  <si>
    <t>NOMBRE:</t>
  </si>
  <si>
    <t>RED PS C/N TZ 160 X 1 1/2" X 25 MD X 6.8 M</t>
  </si>
  <si>
    <t xml:space="preserve"> JAULAS</t>
  </si>
  <si>
    <t>TIPO DE TRABAJO</t>
  </si>
  <si>
    <t>X</t>
  </si>
  <si>
    <t>&lt;= DATOS SON TRAIDOS DESDE EL SOLVER</t>
  </si>
  <si>
    <t>UBICACIÓN:</t>
  </si>
  <si>
    <t>&lt;= MENU DE AYUDA PARA SELECCIONAR. SERÁ DEPENDIENDO DEL PRODUCTO Y DE SI ES DESTAJO O JORNAL (MAESTRO DE UBICACIONES POR PRODUCTO)</t>
  </si>
  <si>
    <t>TIPO_UBICACION:</t>
  </si>
  <si>
    <t>&lt;= CON EL CODIGO DE UBICACIÓN LO UBICA DESDE "MAESTRO DE UBICACIONES"</t>
  </si>
  <si>
    <t>CANTIDAD:</t>
  </si>
  <si>
    <t>&lt;= CON EL CODIGO DE UBICACIÓN LO UBICA DESDE "MAESTRO DE UBICACIONES POR PRODUCTO"</t>
  </si>
  <si>
    <t>VALOR_UNITARIO:</t>
  </si>
  <si>
    <t xml:space="preserve"> BRAZAS</t>
  </si>
  <si>
    <t>&lt;= CON EL CODIGO DE UBICACIÓN LO UBICA DESDE "MAESTRO DE UBICACIONES POR PRODUCTO" Y LA UNIDAD DE "MAESTRO DE UNIDADES DE MEDIDA"</t>
  </si>
  <si>
    <t>TARIFA:</t>
  </si>
  <si>
    <t xml:space="preserve"> SOLES</t>
  </si>
  <si>
    <t>Ñ</t>
  </si>
  <si>
    <t>&lt;= SE SELECCIONARÁ</t>
  </si>
  <si>
    <t>CÓDIGO</t>
  </si>
  <si>
    <t>∆</t>
  </si>
  <si>
    <t>88654</t>
  </si>
  <si>
    <t>85444</t>
  </si>
  <si>
    <t>88778</t>
  </si>
  <si>
    <t>87872</t>
  </si>
  <si>
    <t>NOMBRE Y APELLIDO DE OPERARIO 1</t>
  </si>
  <si>
    <t>NOMBRE Y APELLIDO DE OPERARIO 2</t>
  </si>
  <si>
    <t>NOMBRE Y APELLIDO DE OPERARIO 3</t>
  </si>
  <si>
    <t>NOMBRE Y APELLIDO DE OPERARIO 4</t>
  </si>
  <si>
    <t>&lt;= EL VALOR UNITARIO SE PUEDE INGRESAR, PERO QUE POR DEFAULT SE DIVIDA EL VALOR UNITARIO ENTRE EL NUMERO DE OPERARIOS</t>
  </si>
  <si>
    <t>ACEPTAR</t>
  </si>
  <si>
    <t>CANCELAR</t>
  </si>
  <si>
    <t>EL REGISTRO FUE INGRESADO CORRECTAMENTE</t>
  </si>
  <si>
    <t>&lt;= EVITAR MENSAJES EMERGENTES. TODA NOTIFICACION DEBE DE SER POR ESTE CAMPO. AZUL = OK, ROJO = ERROR, AMARILLO = ADVERTENCIA.</t>
  </si>
  <si>
    <t>AGREGAR =&gt;</t>
  </si>
  <si>
    <t>&lt;= SE INGRESERÁ EL VALOR. ESTE VALOR NO DEBE DE EXCEDER EN TOTAL JUNTO A LOS OTROS REGISTROS DE 16.</t>
  </si>
  <si>
    <t>002 - REFUERZO</t>
  </si>
  <si>
    <t>&lt;= SE INGRESERÁ EL VALOR. ESTE VALOR SE PUEDE INGRESAR A LIBRE DISCRECIÓN. NO HAY VALIDACION</t>
  </si>
  <si>
    <t>&lt;= EL VALOR UNITARIO SE PUEDE INGRESAR</t>
  </si>
  <si>
    <t>&lt;= EL BOTON AGREGAR ABRIRÁ UN MENU DONDE PUEDA SELECCIONAR EL O LOS TRABAJADORES Y PASAN A LA GRILLA DE ABAJO.</t>
  </si>
  <si>
    <t>&lt;= UN OPERARIO PUEDE TEJER MAS DE 1 COSTURA A LA VEZ</t>
  </si>
  <si>
    <t>&lt;= UNA COSTURA PUEDE TENER MAS DE 1 OPERARIO</t>
  </si>
  <si>
    <t>&lt;= AL GRABAR, TODO SE LIMPIA</t>
  </si>
  <si>
    <t>VU</t>
  </si>
  <si>
    <t>&lt;= LOS OPERARIOS PARA DESTAJO DEBEN SER SOLO COTUREROS</t>
  </si>
  <si>
    <t>LOTE:</t>
  </si>
  <si>
    <t>J12345</t>
  </si>
  <si>
    <t>#</t>
  </si>
  <si>
    <t>CANTIDAD A INGRESAR:</t>
  </si>
  <si>
    <t>VU A INGRESAR:</t>
  </si>
  <si>
    <t>&lt;= MENÚ DE AYUDA PARA SELECCIONAR LOS LOTES DE LA OT</t>
  </si>
  <si>
    <t>003 - GASA SIMPLE</t>
  </si>
  <si>
    <t>CLIENTE</t>
  </si>
  <si>
    <t>OT</t>
  </si>
  <si>
    <t>OV</t>
  </si>
  <si>
    <t>4/12</t>
  </si>
  <si>
    <t>&lt;= EL TIPO DE UBICACIÓN NO DEBE APARECER. INTERNAMENTE POR SI SE NECESITA HACER ALGUNA VALIDACIÓN.</t>
  </si>
  <si>
    <t>&lt;= MENÚ DE AYUDA PARA SELECCIONAR LOS LOTES DE LA OT. SE PIDE LOTE SOLO SI ES NO UNIVERSAL</t>
  </si>
  <si>
    <t>FALTA: 13/16</t>
  </si>
  <si>
    <t xml:space="preserve"> NO SE HACE EL INGRESO CORRELATIVO</t>
  </si>
  <si>
    <t xml:space="preserve"> SI PUEDE INGRESAR 2 VA, OTRO 1… U DEJAR EL 0.5 PARA OTRO INGRESO. PERO AVISAR. LLEVAR CONTROL DE CTA CTE DE VU.</t>
  </si>
  <si>
    <t>FALTA: 50/56 BZ</t>
  </si>
  <si>
    <t>0001</t>
  </si>
  <si>
    <t>0002</t>
  </si>
  <si>
    <t>0003</t>
  </si>
  <si>
    <t>0004</t>
  </si>
  <si>
    <t>0001 - CUCHILLA</t>
  </si>
  <si>
    <t>* NO UNIVERSAL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</si>
</sst>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 tint="4.9989318521683403E-2"/>
      <name val="Symbol"/>
      <family val="1"/>
      <charset val="2"/>
    </font>
    <font>
      <sz val="11"/>
      <color theme="1" tint="4.9989318521683403E-2"/>
      <name val="Aptos Narrow"/>
      <family val="2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0"/>
      <color theme="4" tint="-0.499984740745262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3" fillId="0" borderId="0" xfId="0" applyFont="1"/>
    <xf numFmtId="0" fontId="0" fillId="0" borderId="0" xfId="0" quotePrefix="1"/>
    <xf numFmtId="0" fontId="0" fillId="2" borderId="0" xfId="0" applyFill="1"/>
    <xf numFmtId="0" fontId="2" fillId="2" borderId="0" xfId="0" applyFont="1" applyFill="1"/>
    <xf numFmtId="0" fontId="4" fillId="2" borderId="0" xfId="0" applyFont="1" applyFill="1"/>
    <xf numFmtId="0" fontId="0" fillId="0" borderId="0" xfId="0" quotePrefix="1" applyAlignment="1">
      <alignment horizontal="right"/>
    </xf>
    <xf numFmtId="0" fontId="0" fillId="3" borderId="6" xfId="0" applyFill="1" applyBorder="1"/>
    <xf numFmtId="0" fontId="0" fillId="4" borderId="11" xfId="0" applyFill="1" applyBorder="1"/>
    <xf numFmtId="0" fontId="0" fillId="4" borderId="12" xfId="0" applyFill="1" applyBorder="1"/>
    <xf numFmtId="0" fontId="0" fillId="5" borderId="5" xfId="0" applyFill="1" applyBorder="1"/>
    <xf numFmtId="0" fontId="0" fillId="5" borderId="0" xfId="0" applyFill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6" borderId="11" xfId="0" applyFill="1" applyBorder="1"/>
    <xf numFmtId="0" fontId="0" fillId="6" borderId="12" xfId="0" applyFill="1" applyBorder="1"/>
    <xf numFmtId="0" fontId="5" fillId="6" borderId="10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5" fillId="4" borderId="10" xfId="0" quotePrefix="1" applyFont="1" applyFill="1" applyBorder="1"/>
    <xf numFmtId="0" fontId="5" fillId="4" borderId="10" xfId="0" applyFont="1" applyFill="1" applyBorder="1"/>
    <xf numFmtId="0" fontId="5" fillId="5" borderId="2" xfId="0" applyFont="1" applyFill="1" applyBorder="1"/>
    <xf numFmtId="0" fontId="5" fillId="5" borderId="3" xfId="0" applyFont="1" applyFill="1" applyBorder="1"/>
    <xf numFmtId="0" fontId="7" fillId="3" borderId="1" xfId="0" applyFont="1" applyFill="1" applyBorder="1" applyAlignment="1">
      <alignment horizontal="center" vertical="center"/>
    </xf>
    <xf numFmtId="0" fontId="6" fillId="3" borderId="12" xfId="0" applyFont="1" applyFill="1" applyBorder="1"/>
    <xf numFmtId="0" fontId="5" fillId="6" borderId="11" xfId="0" applyFont="1" applyFill="1" applyBorder="1"/>
    <xf numFmtId="0" fontId="5" fillId="6" borderId="12" xfId="0" applyFont="1" applyFill="1" applyBorder="1"/>
    <xf numFmtId="0" fontId="5" fillId="5" borderId="2" xfId="0" quotePrefix="1" applyFont="1" applyFill="1" applyBorder="1"/>
    <xf numFmtId="0" fontId="5" fillId="5" borderId="4" xfId="0" applyFont="1" applyFill="1" applyBorder="1"/>
    <xf numFmtId="0" fontId="5" fillId="5" borderId="5" xfId="0" quotePrefix="1" applyFont="1" applyFill="1" applyBorder="1"/>
    <xf numFmtId="0" fontId="5" fillId="5" borderId="0" xfId="0" applyFont="1" applyFill="1"/>
    <xf numFmtId="0" fontId="5" fillId="5" borderId="6" xfId="0" applyFont="1" applyFill="1" applyBorder="1"/>
    <xf numFmtId="0" fontId="5" fillId="5" borderId="5" xfId="0" applyFont="1" applyFill="1" applyBorder="1"/>
    <xf numFmtId="0" fontId="5" fillId="5" borderId="7" xfId="0" quotePrefix="1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5" fillId="5" borderId="7" xfId="0" applyFont="1" applyFill="1" applyBorder="1"/>
    <xf numFmtId="0" fontId="5" fillId="6" borderId="10" xfId="0" quotePrefix="1" applyFont="1" applyFill="1" applyBorder="1"/>
    <xf numFmtId="0" fontId="5" fillId="6" borderId="10" xfId="0" applyFont="1" applyFill="1" applyBorder="1" applyAlignment="1">
      <alignment horizontal="left"/>
    </xf>
    <xf numFmtId="0" fontId="5" fillId="6" borderId="11" xfId="0" applyFont="1" applyFill="1" applyBorder="1" applyAlignment="1">
      <alignment horizontal="left"/>
    </xf>
    <xf numFmtId="0" fontId="5" fillId="6" borderId="12" xfId="0" applyFont="1" applyFill="1" applyBorder="1" applyAlignment="1">
      <alignment horizontal="left"/>
    </xf>
    <xf numFmtId="0" fontId="0" fillId="6" borderId="0" xfId="0" applyFill="1"/>
    <xf numFmtId="0" fontId="0" fillId="0" borderId="1" xfId="0" applyBorder="1"/>
    <xf numFmtId="0" fontId="5" fillId="6" borderId="11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4" borderId="10" xfId="0" quotePrefix="1" applyFont="1" applyFill="1" applyBorder="1" applyAlignment="1">
      <alignment horizontal="center" vertical="center"/>
    </xf>
    <xf numFmtId="0" fontId="5" fillId="4" borderId="11" xfId="0" quotePrefix="1" applyFont="1" applyFill="1" applyBorder="1" applyAlignment="1">
      <alignment horizontal="center" vertical="center"/>
    </xf>
    <xf numFmtId="0" fontId="5" fillId="4" borderId="12" xfId="0" quotePrefix="1" applyFont="1" applyFill="1" applyBorder="1" applyAlignment="1">
      <alignment horizontal="center" vertical="center"/>
    </xf>
    <xf numFmtId="2" fontId="5" fillId="4" borderId="10" xfId="0" quotePrefix="1" applyNumberFormat="1" applyFont="1" applyFill="1" applyBorder="1" applyAlignment="1">
      <alignment horizontal="center" vertical="center"/>
    </xf>
    <xf numFmtId="2" fontId="5" fillId="4" borderId="11" xfId="0" quotePrefix="1" applyNumberFormat="1" applyFont="1" applyFill="1" applyBorder="1" applyAlignment="1">
      <alignment horizontal="center" vertical="center"/>
    </xf>
    <xf numFmtId="2" fontId="5" fillId="4" borderId="12" xfId="0" quotePrefix="1" applyNumberFormat="1" applyFont="1" applyFill="1" applyBorder="1" applyAlignment="1">
      <alignment horizontal="center" vertical="center"/>
    </xf>
    <xf numFmtId="43" fontId="5" fillId="4" borderId="5" xfId="1" applyFont="1" applyFill="1" applyBorder="1" applyAlignment="1">
      <alignment horizontal="center" vertical="center"/>
    </xf>
    <xf numFmtId="43" fontId="5" fillId="4" borderId="6" xfId="1" applyFont="1" applyFill="1" applyBorder="1" applyAlignment="1">
      <alignment horizontal="center" vertical="center"/>
    </xf>
    <xf numFmtId="43" fontId="5" fillId="4" borderId="7" xfId="1" applyFont="1" applyFill="1" applyBorder="1" applyAlignment="1">
      <alignment horizontal="center" vertical="center"/>
    </xf>
    <xf numFmtId="43" fontId="5" fillId="4" borderId="9" xfId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5" fillId="6" borderId="2" xfId="0" applyFont="1" applyFill="1" applyBorder="1" applyAlignment="1">
      <alignment horizontal="left" vertical="top" wrapText="1"/>
    </xf>
    <xf numFmtId="0" fontId="5" fillId="6" borderId="3" xfId="0" applyFont="1" applyFill="1" applyBorder="1" applyAlignment="1">
      <alignment horizontal="left" vertical="top" wrapText="1"/>
    </xf>
    <xf numFmtId="0" fontId="5" fillId="6" borderId="4" xfId="0" applyFont="1" applyFill="1" applyBorder="1" applyAlignment="1">
      <alignment horizontal="left" vertical="top" wrapText="1"/>
    </xf>
    <xf numFmtId="0" fontId="5" fillId="6" borderId="7" xfId="0" applyFont="1" applyFill="1" applyBorder="1" applyAlignment="1">
      <alignment horizontal="left" vertical="top" wrapText="1"/>
    </xf>
    <xf numFmtId="0" fontId="5" fillId="6" borderId="8" xfId="0" applyFont="1" applyFill="1" applyBorder="1" applyAlignment="1">
      <alignment horizontal="left" vertical="top" wrapText="1"/>
    </xf>
    <xf numFmtId="0" fontId="5" fillId="6" borderId="9" xfId="0" applyFont="1" applyFill="1" applyBorder="1" applyAlignment="1">
      <alignment horizontal="left" vertical="top" wrapText="1"/>
    </xf>
    <xf numFmtId="43" fontId="5" fillId="6" borderId="10" xfId="1" applyFont="1" applyFill="1" applyBorder="1" applyAlignment="1">
      <alignment horizontal="right"/>
    </xf>
    <xf numFmtId="43" fontId="5" fillId="6" borderId="11" xfId="1" applyFont="1" applyFill="1" applyBorder="1" applyAlignment="1">
      <alignment horizontal="right"/>
    </xf>
    <xf numFmtId="43" fontId="5" fillId="6" borderId="12" xfId="1" applyFont="1" applyFill="1" applyBorder="1" applyAlignment="1">
      <alignment horizontal="right"/>
    </xf>
    <xf numFmtId="0" fontId="5" fillId="6" borderId="10" xfId="0" applyFont="1" applyFill="1" applyBorder="1" applyAlignment="1">
      <alignment horizontal="left"/>
    </xf>
    <xf numFmtId="0" fontId="5" fillId="6" borderId="11" xfId="0" applyFont="1" applyFill="1" applyBorder="1" applyAlignment="1">
      <alignment horizontal="left"/>
    </xf>
    <xf numFmtId="0" fontId="5" fillId="6" borderId="1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164" fontId="5" fillId="4" borderId="2" xfId="0" quotePrefix="1" applyNumberFormat="1" applyFont="1" applyFill="1" applyBorder="1" applyAlignment="1">
      <alignment horizontal="center" vertical="center"/>
    </xf>
    <xf numFmtId="164" fontId="5" fillId="4" borderId="3" xfId="0" quotePrefix="1" applyNumberFormat="1" applyFont="1" applyFill="1" applyBorder="1" applyAlignment="1">
      <alignment horizontal="center" vertical="center"/>
    </xf>
    <xf numFmtId="43" fontId="5" fillId="4" borderId="2" xfId="1" applyFont="1" applyFill="1" applyBorder="1" applyAlignment="1">
      <alignment horizontal="center" vertical="center"/>
    </xf>
    <xf numFmtId="43" fontId="5" fillId="4" borderId="4" xfId="1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5" fillId="6" borderId="10" xfId="0" quotePrefix="1" applyFont="1" applyFill="1" applyBorder="1" applyAlignment="1">
      <alignment horizontal="center" vertical="center"/>
    </xf>
    <xf numFmtId="0" fontId="5" fillId="6" borderId="11" xfId="0" quotePrefix="1" applyFont="1" applyFill="1" applyBorder="1" applyAlignment="1">
      <alignment horizontal="center" vertical="center"/>
    </xf>
    <xf numFmtId="0" fontId="5" fillId="6" borderId="12" xfId="0" quotePrefix="1" applyFont="1" applyFill="1" applyBorder="1" applyAlignment="1">
      <alignment horizontal="center" vertical="center"/>
    </xf>
    <xf numFmtId="2" fontId="5" fillId="6" borderId="10" xfId="0" quotePrefix="1" applyNumberFormat="1" applyFont="1" applyFill="1" applyBorder="1" applyAlignment="1">
      <alignment horizontal="center" vertical="center"/>
    </xf>
    <xf numFmtId="2" fontId="5" fillId="6" borderId="11" xfId="0" quotePrefix="1" applyNumberFormat="1" applyFont="1" applyFill="1" applyBorder="1" applyAlignment="1">
      <alignment horizontal="center" vertical="center"/>
    </xf>
    <xf numFmtId="2" fontId="5" fillId="6" borderId="12" xfId="0" quotePrefix="1" applyNumberFormat="1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16" fontId="5" fillId="6" borderId="10" xfId="0" quotePrefix="1" applyNumberFormat="1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164" fontId="5" fillId="4" borderId="5" xfId="0" quotePrefix="1" applyNumberFormat="1" applyFont="1" applyFill="1" applyBorder="1" applyAlignment="1">
      <alignment horizontal="center" vertical="center"/>
    </xf>
    <xf numFmtId="164" fontId="5" fillId="4" borderId="0" xfId="0" quotePrefix="1" applyNumberFormat="1" applyFont="1" applyFill="1" applyAlignment="1">
      <alignment horizontal="center" vertical="center"/>
    </xf>
    <xf numFmtId="164" fontId="5" fillId="4" borderId="7" xfId="0" quotePrefix="1" applyNumberFormat="1" applyFont="1" applyFill="1" applyBorder="1" applyAlignment="1">
      <alignment horizontal="center" vertical="center"/>
    </xf>
    <xf numFmtId="164" fontId="5" fillId="4" borderId="8" xfId="0" quotePrefix="1" applyNumberFormat="1" applyFont="1" applyFill="1" applyBorder="1" applyAlignment="1">
      <alignment horizontal="center" vertical="center"/>
    </xf>
    <xf numFmtId="43" fontId="5" fillId="6" borderId="10" xfId="1" quotePrefix="1" applyFont="1" applyFill="1" applyBorder="1" applyAlignment="1">
      <alignment horizontal="right"/>
    </xf>
    <xf numFmtId="43" fontId="5" fillId="4" borderId="2" xfId="1" quotePrefix="1" applyFont="1" applyFill="1" applyBorder="1" applyAlignment="1">
      <alignment horizontal="center" vertical="center"/>
    </xf>
    <xf numFmtId="43" fontId="5" fillId="4" borderId="5" xfId="1" quotePrefix="1" applyFont="1" applyFill="1" applyBorder="1" applyAlignment="1">
      <alignment horizontal="center" vertical="center"/>
    </xf>
    <xf numFmtId="43" fontId="5" fillId="4" borderId="7" xfId="1" quotePrefix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114323</xdr:colOff>
      <xdr:row>16</xdr:row>
      <xdr:rowOff>38121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C35784-B751-3617-DDB6-D65160213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162323" cy="29337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4</xdr:col>
      <xdr:colOff>390550</xdr:colOff>
      <xdr:row>29</xdr:row>
      <xdr:rowOff>152417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62D7AE-CC5C-7486-0635-F2F997D43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76575"/>
          <a:ext cx="3438550" cy="23241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3</xdr:col>
      <xdr:colOff>685822</xdr:colOff>
      <xdr:row>48</xdr:row>
      <xdr:rowOff>19071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26EAC5B-A2A6-45C5-0097-18EB2287C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791200"/>
          <a:ext cx="2971822" cy="29146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8</xdr:col>
      <xdr:colOff>352472</xdr:colOff>
      <xdr:row>66</xdr:row>
      <xdr:rowOff>28596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B708EA2-4C52-9AFA-4643-DBE138336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048750"/>
          <a:ext cx="6448472" cy="2924196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6</xdr:row>
      <xdr:rowOff>28575</xdr:rowOff>
    </xdr:from>
    <xdr:to>
      <xdr:col>14</xdr:col>
      <xdr:colOff>276274</xdr:colOff>
      <xdr:row>23</xdr:row>
      <xdr:rowOff>114323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F043245-58FC-B8C0-CBE4-46D9BBEDE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0" y="1114425"/>
          <a:ext cx="6658024" cy="3162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01898-3E68-4FB3-8B6D-0FCDAAF768E7}">
  <dimension ref="A2:F20"/>
  <sheetViews>
    <sheetView zoomScale="145" zoomScaleNormal="145" workbookViewId="0">
      <selection activeCell="B21" sqref="B21"/>
    </sheetView>
  </sheetViews>
  <sheetFormatPr baseColWidth="10" defaultRowHeight="14.25" x14ac:dyDescent="0.45"/>
  <cols>
    <col min="1" max="1" width="19.19921875" customWidth="1"/>
    <col min="2" max="2" width="23.73046875" customWidth="1"/>
    <col min="3" max="3" width="16.9296875" customWidth="1"/>
    <col min="4" max="4" width="18" customWidth="1"/>
    <col min="5" max="5" width="25.73046875" customWidth="1"/>
  </cols>
  <sheetData>
    <row r="2" spans="1:6" x14ac:dyDescent="0.45">
      <c r="A2" s="4" t="s">
        <v>7</v>
      </c>
      <c r="B2" s="5"/>
      <c r="C2" s="3"/>
      <c r="D2" s="3"/>
      <c r="E2" s="3"/>
    </row>
    <row r="3" spans="1:6" x14ac:dyDescent="0.45">
      <c r="A3" s="1" t="s">
        <v>0</v>
      </c>
      <c r="B3" s="1" t="s">
        <v>1</v>
      </c>
    </row>
    <row r="4" spans="1:6" x14ac:dyDescent="0.45">
      <c r="A4" s="2" t="s">
        <v>2</v>
      </c>
      <c r="B4" t="s">
        <v>3</v>
      </c>
    </row>
    <row r="5" spans="1:6" x14ac:dyDescent="0.45">
      <c r="A5" s="2" t="s">
        <v>4</v>
      </c>
      <c r="B5" t="s">
        <v>9</v>
      </c>
    </row>
    <row r="6" spans="1:6" x14ac:dyDescent="0.45">
      <c r="A6" s="2" t="s">
        <v>5</v>
      </c>
      <c r="B6" t="s">
        <v>10</v>
      </c>
    </row>
    <row r="8" spans="1:6" x14ac:dyDescent="0.45">
      <c r="A8" s="4" t="s">
        <v>6</v>
      </c>
      <c r="B8" s="5"/>
      <c r="C8" s="3"/>
      <c r="D8" s="3"/>
      <c r="E8" s="3"/>
    </row>
    <row r="9" spans="1:6" x14ac:dyDescent="0.45">
      <c r="A9" s="1" t="s">
        <v>0</v>
      </c>
      <c r="B9" s="1" t="s">
        <v>1</v>
      </c>
      <c r="C9" s="1" t="s">
        <v>8</v>
      </c>
      <c r="D9" s="1" t="s">
        <v>15</v>
      </c>
      <c r="E9" s="1" t="s">
        <v>16</v>
      </c>
      <c r="F9" s="1"/>
    </row>
    <row r="10" spans="1:6" x14ac:dyDescent="0.45">
      <c r="A10" s="2" t="s">
        <v>95</v>
      </c>
      <c r="B10" t="s">
        <v>11</v>
      </c>
      <c r="C10" s="2" t="s">
        <v>2</v>
      </c>
      <c r="D10" t="s">
        <v>17</v>
      </c>
      <c r="E10" t="s">
        <v>19</v>
      </c>
    </row>
    <row r="11" spans="1:6" x14ac:dyDescent="0.45">
      <c r="A11" s="2" t="s">
        <v>96</v>
      </c>
      <c r="B11" t="s">
        <v>12</v>
      </c>
      <c r="C11" s="2" t="s">
        <v>2</v>
      </c>
      <c r="D11" t="s">
        <v>17</v>
      </c>
      <c r="E11" t="s">
        <v>20</v>
      </c>
    </row>
    <row r="12" spans="1:6" x14ac:dyDescent="0.45">
      <c r="A12" s="2" t="s">
        <v>97</v>
      </c>
      <c r="B12" t="s">
        <v>13</v>
      </c>
      <c r="C12" s="2" t="s">
        <v>4</v>
      </c>
      <c r="D12" t="s">
        <v>18</v>
      </c>
      <c r="E12" s="46" t="s">
        <v>19</v>
      </c>
    </row>
    <row r="13" spans="1:6" x14ac:dyDescent="0.45">
      <c r="A13" s="2" t="s">
        <v>98</v>
      </c>
      <c r="B13" t="s">
        <v>14</v>
      </c>
      <c r="C13" s="2" t="s">
        <v>5</v>
      </c>
      <c r="D13" t="s">
        <v>18</v>
      </c>
      <c r="E13" s="46" t="s">
        <v>19</v>
      </c>
    </row>
    <row r="14" spans="1:6" x14ac:dyDescent="0.45">
      <c r="A14" s="2"/>
      <c r="C14" s="2"/>
    </row>
    <row r="15" spans="1:6" x14ac:dyDescent="0.45">
      <c r="A15" s="4" t="s">
        <v>21</v>
      </c>
      <c r="B15" s="5"/>
      <c r="C15" s="3"/>
      <c r="D15" s="3"/>
      <c r="E15" s="3"/>
    </row>
    <row r="16" spans="1:6" x14ac:dyDescent="0.45">
      <c r="A16" s="1" t="s">
        <v>23</v>
      </c>
      <c r="B16" s="1" t="s">
        <v>22</v>
      </c>
      <c r="C16" s="1" t="s">
        <v>25</v>
      </c>
      <c r="D16" s="1" t="s">
        <v>26</v>
      </c>
      <c r="E16" s="1" t="s">
        <v>27</v>
      </c>
    </row>
    <row r="17" spans="1:5" x14ac:dyDescent="0.45">
      <c r="A17" t="s">
        <v>24</v>
      </c>
      <c r="B17" s="2" t="s">
        <v>95</v>
      </c>
      <c r="C17" s="2">
        <v>16</v>
      </c>
      <c r="D17">
        <v>3.5</v>
      </c>
      <c r="E17">
        <v>5.56</v>
      </c>
    </row>
    <row r="18" spans="1:5" x14ac:dyDescent="0.45">
      <c r="A18" t="s">
        <v>24</v>
      </c>
      <c r="B18" s="2" t="s">
        <v>96</v>
      </c>
      <c r="C18" s="6" t="s">
        <v>28</v>
      </c>
      <c r="D18" s="6">
        <v>5.5</v>
      </c>
      <c r="E18">
        <v>4.25</v>
      </c>
    </row>
    <row r="19" spans="1:5" x14ac:dyDescent="0.45">
      <c r="A19" t="s">
        <v>24</v>
      </c>
      <c r="B19" s="2" t="s">
        <v>97</v>
      </c>
      <c r="C19">
        <v>400</v>
      </c>
      <c r="D19" s="6" t="s">
        <v>28</v>
      </c>
      <c r="E19">
        <v>6.32</v>
      </c>
    </row>
    <row r="20" spans="1:5" x14ac:dyDescent="0.45">
      <c r="A20" t="s">
        <v>24</v>
      </c>
      <c r="B20" s="2" t="s">
        <v>98</v>
      </c>
      <c r="C20">
        <v>120</v>
      </c>
      <c r="D20" s="6" t="s">
        <v>28</v>
      </c>
      <c r="E20">
        <v>10.220000000000001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A100-A3E9-43E0-A526-08C00C480312}">
  <dimension ref="B2:CA93"/>
  <sheetViews>
    <sheetView zoomScale="115" zoomScaleNormal="115" workbookViewId="0">
      <selection activeCell="K15" sqref="K15"/>
    </sheetView>
  </sheetViews>
  <sheetFormatPr baseColWidth="10" defaultColWidth="2.53125" defaultRowHeight="14.25" x14ac:dyDescent="0.45"/>
  <cols>
    <col min="11" max="11" width="3.53125" bestFit="1" customWidth="1"/>
    <col min="19" max="19" width="2.796875" customWidth="1"/>
    <col min="62" max="62" width="14.1328125" customWidth="1"/>
    <col min="63" max="63" width="7.53125" customWidth="1"/>
    <col min="64" max="64" width="17.46484375" customWidth="1"/>
  </cols>
  <sheetData>
    <row r="2" spans="2:79" x14ac:dyDescent="0.45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8"/>
      <c r="BJ2" s="47" t="s">
        <v>85</v>
      </c>
      <c r="BK2" s="47" t="s">
        <v>86</v>
      </c>
      <c r="BL2" s="47" t="s">
        <v>87</v>
      </c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</row>
    <row r="3" spans="2:79" x14ac:dyDescent="0.45">
      <c r="B3" s="10"/>
      <c r="C3" s="11" t="s">
        <v>29</v>
      </c>
      <c r="D3" s="11"/>
      <c r="E3" s="11"/>
      <c r="F3" s="11"/>
      <c r="G3" s="11"/>
      <c r="H3" s="11"/>
      <c r="I3" s="11"/>
      <c r="J3" s="11"/>
      <c r="K3" s="25" t="s">
        <v>32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  <c r="X3" s="12"/>
      <c r="AA3" s="2" t="s">
        <v>30</v>
      </c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</row>
    <row r="4" spans="2:79" x14ac:dyDescent="0.45">
      <c r="B4" s="10"/>
      <c r="C4" s="11" t="s">
        <v>31</v>
      </c>
      <c r="D4" s="11"/>
      <c r="E4" s="11"/>
      <c r="F4" s="11"/>
      <c r="G4" s="11"/>
      <c r="H4" s="11"/>
      <c r="I4" s="11"/>
      <c r="J4" s="11"/>
      <c r="K4" s="21" t="s">
        <v>24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20"/>
      <c r="X4" s="12"/>
      <c r="AA4" s="2" t="s">
        <v>38</v>
      </c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</row>
    <row r="5" spans="2:79" x14ac:dyDescent="0.45">
      <c r="B5" s="10"/>
      <c r="C5" s="11" t="s">
        <v>33</v>
      </c>
      <c r="D5" s="11"/>
      <c r="E5" s="11"/>
      <c r="F5" s="11"/>
      <c r="G5" s="11"/>
      <c r="H5" s="11"/>
      <c r="I5" s="11"/>
      <c r="J5" s="11"/>
      <c r="K5" s="67" t="s">
        <v>34</v>
      </c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9"/>
      <c r="X5" s="12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</row>
    <row r="6" spans="2:79" x14ac:dyDescent="0.45">
      <c r="B6" s="10"/>
      <c r="C6" s="11"/>
      <c r="D6" s="11"/>
      <c r="E6" s="11"/>
      <c r="F6" s="11"/>
      <c r="G6" s="11"/>
      <c r="H6" s="11"/>
      <c r="I6" s="11"/>
      <c r="J6" s="11"/>
      <c r="K6" s="70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2"/>
      <c r="X6" s="12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</row>
    <row r="7" spans="2:79" x14ac:dyDescent="0.45">
      <c r="B7" s="10"/>
      <c r="C7" s="11" t="s">
        <v>25</v>
      </c>
      <c r="D7" s="11"/>
      <c r="E7" s="11"/>
      <c r="F7" s="11"/>
      <c r="G7" s="11"/>
      <c r="H7" s="11"/>
      <c r="I7" s="11"/>
      <c r="J7" s="11"/>
      <c r="K7" s="73">
        <v>12</v>
      </c>
      <c r="L7" s="74"/>
      <c r="M7" s="74"/>
      <c r="N7" s="74"/>
      <c r="O7" s="74"/>
      <c r="P7" s="74"/>
      <c r="Q7" s="74"/>
      <c r="R7" s="75"/>
      <c r="S7" s="76" t="s">
        <v>35</v>
      </c>
      <c r="T7" s="77"/>
      <c r="U7" s="77"/>
      <c r="V7" s="77"/>
      <c r="W7" s="78"/>
      <c r="X7" s="12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</row>
    <row r="8" spans="2:79" x14ac:dyDescent="0.4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2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</row>
    <row r="9" spans="2:79" x14ac:dyDescent="0.45">
      <c r="B9" s="10"/>
      <c r="C9" s="11" t="s">
        <v>36</v>
      </c>
      <c r="D9" s="11"/>
      <c r="E9" s="11"/>
      <c r="F9" s="11"/>
      <c r="G9" s="11"/>
      <c r="H9" s="11"/>
      <c r="I9" s="11"/>
      <c r="J9" s="11"/>
      <c r="K9" s="23" t="s">
        <v>37</v>
      </c>
      <c r="L9" s="11" t="s">
        <v>17</v>
      </c>
      <c r="M9" s="11"/>
      <c r="N9" s="11"/>
      <c r="O9" s="11"/>
      <c r="P9" s="11"/>
      <c r="Q9" s="22"/>
      <c r="R9" s="11" t="s">
        <v>18</v>
      </c>
      <c r="S9" s="11"/>
      <c r="T9" s="11"/>
      <c r="U9" s="11"/>
      <c r="V9" s="11"/>
      <c r="W9" s="11"/>
      <c r="X9" s="12"/>
      <c r="AA9" s="2" t="s">
        <v>51</v>
      </c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</row>
    <row r="10" spans="2:79" x14ac:dyDescent="0.45"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2"/>
    </row>
    <row r="11" spans="2:79" x14ac:dyDescent="0.45">
      <c r="B11" s="10"/>
      <c r="C11" s="11" t="s">
        <v>39</v>
      </c>
      <c r="D11" s="11"/>
      <c r="E11" s="11"/>
      <c r="F11" s="11"/>
      <c r="G11" s="11"/>
      <c r="H11" s="11"/>
      <c r="I11" s="11"/>
      <c r="J11" s="11"/>
      <c r="K11" s="24" t="s">
        <v>99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9"/>
      <c r="X11" s="12"/>
      <c r="AA11" s="2" t="s">
        <v>40</v>
      </c>
    </row>
    <row r="12" spans="2:79" x14ac:dyDescent="0.45">
      <c r="B12" s="10"/>
      <c r="C12" s="11" t="s">
        <v>43</v>
      </c>
      <c r="D12" s="11"/>
      <c r="E12" s="11"/>
      <c r="F12" s="11"/>
      <c r="G12" s="11"/>
      <c r="H12" s="11"/>
      <c r="I12" s="11"/>
      <c r="J12" s="11"/>
      <c r="K12" s="49">
        <v>16</v>
      </c>
      <c r="L12" s="48"/>
      <c r="M12" s="48"/>
      <c r="N12" s="48"/>
      <c r="O12" s="48"/>
      <c r="P12" s="48"/>
      <c r="Q12" s="48"/>
      <c r="R12" s="48"/>
      <c r="S12" s="43" t="s">
        <v>100</v>
      </c>
      <c r="T12" s="44"/>
      <c r="U12" s="44"/>
      <c r="V12" s="44"/>
      <c r="W12" s="45"/>
      <c r="X12" s="12"/>
      <c r="AA12" s="2" t="s">
        <v>89</v>
      </c>
    </row>
    <row r="13" spans="2:79" x14ac:dyDescent="0.45">
      <c r="B13" s="10"/>
      <c r="C13" s="11" t="s">
        <v>45</v>
      </c>
      <c r="D13" s="11"/>
      <c r="E13" s="11"/>
      <c r="F13" s="11"/>
      <c r="G13" s="11"/>
      <c r="H13" s="11"/>
      <c r="I13" s="11"/>
      <c r="J13" s="11"/>
      <c r="K13" s="73">
        <v>3.5</v>
      </c>
      <c r="L13" s="74"/>
      <c r="M13" s="74"/>
      <c r="N13" s="74"/>
      <c r="O13" s="74"/>
      <c r="P13" s="74"/>
      <c r="Q13" s="74"/>
      <c r="R13" s="75"/>
      <c r="S13" s="76" t="s">
        <v>46</v>
      </c>
      <c r="T13" s="77"/>
      <c r="U13" s="77"/>
      <c r="V13" s="77"/>
      <c r="W13" s="78"/>
      <c r="X13" s="12"/>
      <c r="AA13" s="2" t="s">
        <v>44</v>
      </c>
    </row>
    <row r="14" spans="2:79" x14ac:dyDescent="0.45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2"/>
      <c r="AA14" s="2" t="s">
        <v>47</v>
      </c>
    </row>
    <row r="15" spans="2:79" x14ac:dyDescent="0.45">
      <c r="B15" s="10"/>
      <c r="C15" s="11" t="s">
        <v>78</v>
      </c>
      <c r="D15" s="11"/>
      <c r="E15" s="11"/>
      <c r="F15" s="11"/>
      <c r="G15" s="11"/>
      <c r="H15" s="11"/>
      <c r="I15" s="11"/>
      <c r="J15" s="11"/>
      <c r="K15" s="24" t="s">
        <v>79</v>
      </c>
      <c r="L15" s="8"/>
      <c r="M15" s="8"/>
      <c r="N15" s="8"/>
      <c r="O15" s="8"/>
      <c r="P15" s="8"/>
      <c r="Q15" s="8"/>
      <c r="R15" s="8"/>
      <c r="S15" s="96" t="s">
        <v>88</v>
      </c>
      <c r="T15" s="97"/>
      <c r="U15" s="97"/>
      <c r="V15" s="97"/>
      <c r="W15" s="98"/>
      <c r="X15" s="12"/>
      <c r="AA15" s="2" t="s">
        <v>90</v>
      </c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</row>
    <row r="16" spans="2:79" x14ac:dyDescent="0.45">
      <c r="B16" s="10"/>
      <c r="C16" s="11" t="s">
        <v>81</v>
      </c>
      <c r="D16" s="11"/>
      <c r="E16" s="11"/>
      <c r="F16" s="11"/>
      <c r="G16" s="11"/>
      <c r="H16" s="11"/>
      <c r="I16" s="11"/>
      <c r="J16" s="11"/>
      <c r="K16" s="88">
        <v>16</v>
      </c>
      <c r="L16" s="89"/>
      <c r="M16" s="89"/>
      <c r="N16" s="89"/>
      <c r="O16" s="89"/>
      <c r="P16" s="89"/>
      <c r="Q16" s="89"/>
      <c r="R16" s="90"/>
      <c r="S16" s="96" t="s">
        <v>91</v>
      </c>
      <c r="T16" s="97"/>
      <c r="U16" s="97"/>
      <c r="V16" s="97"/>
      <c r="W16" s="98"/>
      <c r="X16" s="12"/>
      <c r="AA16" s="2" t="s">
        <v>68</v>
      </c>
    </row>
    <row r="17" spans="2:27" x14ac:dyDescent="0.45">
      <c r="B17" s="10"/>
      <c r="C17" s="11" t="s">
        <v>82</v>
      </c>
      <c r="D17" s="11"/>
      <c r="E17" s="11"/>
      <c r="F17" s="11"/>
      <c r="G17" s="11"/>
      <c r="H17" s="11"/>
      <c r="I17" s="11"/>
      <c r="J17" s="11"/>
      <c r="K17" s="91">
        <v>3.5</v>
      </c>
      <c r="L17" s="92"/>
      <c r="M17" s="92"/>
      <c r="N17" s="92"/>
      <c r="O17" s="92"/>
      <c r="P17" s="92"/>
      <c r="Q17" s="92"/>
      <c r="R17" s="93"/>
      <c r="S17" s="96" t="s">
        <v>94</v>
      </c>
      <c r="T17" s="97"/>
      <c r="U17" s="97"/>
      <c r="V17" s="97"/>
      <c r="W17" s="98"/>
      <c r="X17" s="12"/>
      <c r="AA17" s="2" t="s">
        <v>72</v>
      </c>
    </row>
    <row r="18" spans="2:27" x14ac:dyDescent="0.45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85" t="s">
        <v>67</v>
      </c>
      <c r="U18" s="86"/>
      <c r="V18" s="86"/>
      <c r="W18" s="87"/>
      <c r="X18" s="12"/>
      <c r="AA18" s="2"/>
    </row>
    <row r="19" spans="2:27" x14ac:dyDescent="0.45">
      <c r="B19" s="10"/>
      <c r="C19" s="21" t="s">
        <v>52</v>
      </c>
      <c r="D19" s="30"/>
      <c r="E19" s="31"/>
      <c r="F19" s="21" t="s">
        <v>1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1"/>
      <c r="S19" s="79" t="s">
        <v>80</v>
      </c>
      <c r="T19" s="80"/>
      <c r="U19" s="94" t="s">
        <v>76</v>
      </c>
      <c r="V19" s="95"/>
      <c r="W19" s="28" t="s">
        <v>53</v>
      </c>
      <c r="X19" s="12"/>
    </row>
    <row r="20" spans="2:27" x14ac:dyDescent="0.45">
      <c r="B20" s="10"/>
      <c r="C20" s="32" t="s">
        <v>54</v>
      </c>
      <c r="D20" s="27"/>
      <c r="E20" s="33"/>
      <c r="F20" s="26" t="s">
        <v>58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81">
        <v>1</v>
      </c>
      <c r="T20" s="82"/>
      <c r="U20" s="83">
        <v>2</v>
      </c>
      <c r="V20" s="84"/>
      <c r="W20" s="7"/>
      <c r="X20" s="12"/>
      <c r="AA20" s="2" t="s">
        <v>62</v>
      </c>
    </row>
    <row r="21" spans="2:27" x14ac:dyDescent="0.45">
      <c r="B21" s="10"/>
      <c r="C21" s="34" t="s">
        <v>55</v>
      </c>
      <c r="D21" s="35"/>
      <c r="E21" s="36"/>
      <c r="F21" s="37" t="s">
        <v>59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99">
        <v>1</v>
      </c>
      <c r="T21" s="100"/>
      <c r="U21" s="56">
        <v>1</v>
      </c>
      <c r="V21" s="57"/>
      <c r="W21" s="7"/>
      <c r="X21" s="12"/>
      <c r="AA21" s="2" t="s">
        <v>73</v>
      </c>
    </row>
    <row r="22" spans="2:27" x14ac:dyDescent="0.45">
      <c r="B22" s="10"/>
      <c r="C22" s="34" t="s">
        <v>56</v>
      </c>
      <c r="D22" s="35"/>
      <c r="E22" s="36"/>
      <c r="F22" s="37" t="s">
        <v>60</v>
      </c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99">
        <v>2</v>
      </c>
      <c r="T22" s="100"/>
      <c r="U22" s="56">
        <v>3.5</v>
      </c>
      <c r="V22" s="57"/>
      <c r="W22" s="7"/>
      <c r="X22" s="12"/>
      <c r="AA22" s="2" t="s">
        <v>74</v>
      </c>
    </row>
    <row r="23" spans="2:27" ht="14.65" x14ac:dyDescent="0.45">
      <c r="B23" s="10"/>
      <c r="C23" s="38" t="s">
        <v>57</v>
      </c>
      <c r="D23" s="39"/>
      <c r="E23" s="40"/>
      <c r="F23" s="41" t="s">
        <v>61</v>
      </c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101">
        <v>7</v>
      </c>
      <c r="T23" s="102"/>
      <c r="U23" s="58">
        <v>3.5</v>
      </c>
      <c r="V23" s="59"/>
      <c r="W23" s="29" t="s">
        <v>50</v>
      </c>
      <c r="X23" s="12"/>
      <c r="AA23" s="2" t="s">
        <v>92</v>
      </c>
    </row>
    <row r="24" spans="2:27" x14ac:dyDescent="0.45"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2"/>
      <c r="AA24" s="2" t="s">
        <v>93</v>
      </c>
    </row>
    <row r="25" spans="2:27" x14ac:dyDescent="0.45">
      <c r="B25" s="10"/>
      <c r="C25" s="66" t="s">
        <v>65</v>
      </c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12"/>
      <c r="AA25" s="2" t="s">
        <v>66</v>
      </c>
    </row>
    <row r="26" spans="2:27" x14ac:dyDescent="0.45"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2"/>
      <c r="AA26" s="2" t="s">
        <v>75</v>
      </c>
    </row>
    <row r="27" spans="2:27" x14ac:dyDescent="0.45">
      <c r="B27" s="10"/>
      <c r="C27" s="11"/>
      <c r="D27" s="11"/>
      <c r="E27" s="11"/>
      <c r="F27" s="11"/>
      <c r="G27" s="11"/>
      <c r="H27" s="11"/>
      <c r="I27" s="60" t="s">
        <v>63</v>
      </c>
      <c r="J27" s="61"/>
      <c r="K27" s="61"/>
      <c r="L27" s="61"/>
      <c r="M27" s="61"/>
      <c r="N27" s="61"/>
      <c r="O27" s="62"/>
      <c r="P27" s="11"/>
      <c r="Q27" s="60" t="s">
        <v>64</v>
      </c>
      <c r="R27" s="61"/>
      <c r="S27" s="61"/>
      <c r="T27" s="61"/>
      <c r="U27" s="61"/>
      <c r="V27" s="61"/>
      <c r="W27" s="62"/>
      <c r="X27" s="12"/>
    </row>
    <row r="28" spans="2:27" x14ac:dyDescent="0.45">
      <c r="B28" s="10"/>
      <c r="C28" s="11"/>
      <c r="D28" s="11"/>
      <c r="E28" s="11"/>
      <c r="F28" s="11"/>
      <c r="G28" s="11"/>
      <c r="H28" s="11"/>
      <c r="I28" s="63"/>
      <c r="J28" s="64"/>
      <c r="K28" s="64"/>
      <c r="L28" s="64"/>
      <c r="M28" s="64"/>
      <c r="N28" s="64"/>
      <c r="O28" s="65"/>
      <c r="P28" s="11"/>
      <c r="Q28" s="63"/>
      <c r="R28" s="64"/>
      <c r="S28" s="64"/>
      <c r="T28" s="64"/>
      <c r="U28" s="64"/>
      <c r="V28" s="64"/>
      <c r="W28" s="65"/>
      <c r="X28" s="12"/>
    </row>
    <row r="29" spans="2:27" x14ac:dyDescent="0.45"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5"/>
    </row>
    <row r="32" spans="2:27" x14ac:dyDescent="0.45"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8"/>
    </row>
    <row r="33" spans="2:27" x14ac:dyDescent="0.45">
      <c r="B33" s="10"/>
      <c r="C33" s="11" t="s">
        <v>29</v>
      </c>
      <c r="D33" s="11"/>
      <c r="E33" s="11"/>
      <c r="F33" s="11"/>
      <c r="G33" s="11"/>
      <c r="H33" s="11"/>
      <c r="I33" s="11"/>
      <c r="J33" s="11"/>
      <c r="K33" s="25" t="s">
        <v>32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9"/>
      <c r="X33" s="12"/>
      <c r="AA33" s="2" t="s">
        <v>30</v>
      </c>
    </row>
    <row r="34" spans="2:27" x14ac:dyDescent="0.45">
      <c r="B34" s="10"/>
      <c r="C34" s="11" t="s">
        <v>31</v>
      </c>
      <c r="D34" s="11"/>
      <c r="E34" s="11"/>
      <c r="F34" s="11"/>
      <c r="G34" s="11"/>
      <c r="H34" s="11"/>
      <c r="I34" s="11"/>
      <c r="J34" s="11"/>
      <c r="K34" s="21" t="s">
        <v>24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20"/>
      <c r="X34" s="12"/>
      <c r="AA34" s="2" t="s">
        <v>38</v>
      </c>
    </row>
    <row r="35" spans="2:27" x14ac:dyDescent="0.45">
      <c r="B35" s="10"/>
      <c r="C35" s="11" t="s">
        <v>33</v>
      </c>
      <c r="D35" s="11"/>
      <c r="E35" s="11"/>
      <c r="F35" s="11"/>
      <c r="G35" s="11"/>
      <c r="H35" s="11"/>
      <c r="I35" s="11"/>
      <c r="J35" s="11"/>
      <c r="K35" s="67" t="s">
        <v>34</v>
      </c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9"/>
      <c r="X35" s="12"/>
    </row>
    <row r="36" spans="2:27" x14ac:dyDescent="0.45">
      <c r="B36" s="10"/>
      <c r="C36" s="11"/>
      <c r="D36" s="11"/>
      <c r="E36" s="11"/>
      <c r="F36" s="11"/>
      <c r="G36" s="11"/>
      <c r="H36" s="11"/>
      <c r="I36" s="11"/>
      <c r="J36" s="11"/>
      <c r="K36" s="70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2"/>
      <c r="X36" s="12"/>
    </row>
    <row r="37" spans="2:27" x14ac:dyDescent="0.45">
      <c r="B37" s="10"/>
      <c r="C37" s="11" t="s">
        <v>25</v>
      </c>
      <c r="D37" s="11"/>
      <c r="E37" s="11"/>
      <c r="F37" s="11"/>
      <c r="G37" s="11"/>
      <c r="H37" s="11"/>
      <c r="I37" s="11"/>
      <c r="J37" s="11"/>
      <c r="K37" s="73">
        <v>12</v>
      </c>
      <c r="L37" s="74"/>
      <c r="M37" s="74"/>
      <c r="N37" s="74"/>
      <c r="O37" s="74"/>
      <c r="P37" s="74"/>
      <c r="Q37" s="74"/>
      <c r="R37" s="75"/>
      <c r="S37" s="76" t="s">
        <v>35</v>
      </c>
      <c r="T37" s="77"/>
      <c r="U37" s="77"/>
      <c r="V37" s="77"/>
      <c r="W37" s="78"/>
      <c r="X37" s="12"/>
    </row>
    <row r="38" spans="2:27" x14ac:dyDescent="0.45">
      <c r="B38" s="10"/>
      <c r="C38" s="11" t="s">
        <v>78</v>
      </c>
      <c r="D38" s="11"/>
      <c r="E38" s="11"/>
      <c r="F38" s="11"/>
      <c r="G38" s="11"/>
      <c r="H38" s="11"/>
      <c r="I38" s="11"/>
      <c r="J38" s="11"/>
      <c r="K38" s="24" t="s">
        <v>79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9"/>
      <c r="X38" s="12"/>
      <c r="AA38" s="2" t="s">
        <v>83</v>
      </c>
    </row>
    <row r="39" spans="2:27" x14ac:dyDescent="0.45"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2"/>
    </row>
    <row r="40" spans="2:27" x14ac:dyDescent="0.45">
      <c r="B40" s="10"/>
      <c r="C40" s="11" t="s">
        <v>36</v>
      </c>
      <c r="D40" s="11"/>
      <c r="E40" s="11"/>
      <c r="F40" s="11"/>
      <c r="G40" s="11"/>
      <c r="H40" s="11"/>
      <c r="I40" s="11"/>
      <c r="J40" s="11"/>
      <c r="K40" s="23" t="s">
        <v>37</v>
      </c>
      <c r="L40" s="11" t="s">
        <v>17</v>
      </c>
      <c r="M40" s="11"/>
      <c r="N40" s="11"/>
      <c r="O40" s="11"/>
      <c r="P40" s="11"/>
      <c r="Q40" s="22"/>
      <c r="R40" s="11" t="s">
        <v>18</v>
      </c>
      <c r="S40" s="11"/>
      <c r="T40" s="11"/>
      <c r="U40" s="11"/>
      <c r="V40" s="11"/>
      <c r="W40" s="11"/>
      <c r="X40" s="12"/>
      <c r="AA40" s="2" t="s">
        <v>51</v>
      </c>
    </row>
    <row r="41" spans="2:27" x14ac:dyDescent="0.45"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2"/>
    </row>
    <row r="42" spans="2:27" x14ac:dyDescent="0.45">
      <c r="B42" s="10"/>
      <c r="C42" s="11" t="s">
        <v>39</v>
      </c>
      <c r="D42" s="11"/>
      <c r="E42" s="11"/>
      <c r="F42" s="11"/>
      <c r="G42" s="11"/>
      <c r="H42" s="11"/>
      <c r="I42" s="11"/>
      <c r="J42" s="11"/>
      <c r="K42" s="24" t="s">
        <v>69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9"/>
      <c r="X42" s="12"/>
      <c r="AA42" s="2" t="s">
        <v>40</v>
      </c>
    </row>
    <row r="43" spans="2:27" x14ac:dyDescent="0.45">
      <c r="B43" s="10"/>
      <c r="C43" s="11" t="s">
        <v>41</v>
      </c>
      <c r="D43" s="11"/>
      <c r="E43" s="11"/>
      <c r="F43" s="11"/>
      <c r="G43" s="11"/>
      <c r="H43" s="11"/>
      <c r="I43" s="11"/>
      <c r="J43" s="11"/>
      <c r="K43" s="21" t="s">
        <v>20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20"/>
      <c r="X43" s="12"/>
      <c r="AA43" s="2" t="s">
        <v>42</v>
      </c>
    </row>
    <row r="44" spans="2:27" x14ac:dyDescent="0.45">
      <c r="B44" s="10"/>
      <c r="C44" s="11" t="s">
        <v>43</v>
      </c>
      <c r="D44" s="11"/>
      <c r="E44" s="11"/>
      <c r="F44" s="11"/>
      <c r="G44" s="11"/>
      <c r="H44" s="11"/>
      <c r="I44" s="11"/>
      <c r="J44" s="11"/>
      <c r="K44" s="42" t="s">
        <v>28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20"/>
      <c r="X44" s="12"/>
      <c r="AA44" s="2" t="s">
        <v>44</v>
      </c>
    </row>
    <row r="45" spans="2:27" x14ac:dyDescent="0.45">
      <c r="B45" s="10"/>
      <c r="C45" s="11" t="s">
        <v>45</v>
      </c>
      <c r="D45" s="11"/>
      <c r="E45" s="11"/>
      <c r="F45" s="11"/>
      <c r="G45" s="11"/>
      <c r="H45" s="11"/>
      <c r="I45" s="11"/>
      <c r="J45" s="11"/>
      <c r="K45" s="103">
        <v>5.5</v>
      </c>
      <c r="L45" s="74"/>
      <c r="M45" s="74"/>
      <c r="N45" s="74"/>
      <c r="O45" s="74"/>
      <c r="P45" s="74"/>
      <c r="Q45" s="74"/>
      <c r="R45" s="75"/>
      <c r="S45" s="76" t="s">
        <v>46</v>
      </c>
      <c r="T45" s="77"/>
      <c r="U45" s="77"/>
      <c r="V45" s="77"/>
      <c r="W45" s="78"/>
      <c r="X45" s="12"/>
      <c r="AA45" s="2" t="s">
        <v>47</v>
      </c>
    </row>
    <row r="46" spans="2:27" x14ac:dyDescent="0.45">
      <c r="B46" s="10"/>
      <c r="C46" s="11" t="s">
        <v>48</v>
      </c>
      <c r="D46" s="11"/>
      <c r="E46" s="11"/>
      <c r="F46" s="11"/>
      <c r="G46" s="11"/>
      <c r="H46" s="11"/>
      <c r="I46" s="11"/>
      <c r="J46" s="11"/>
      <c r="K46" s="73">
        <v>4.25</v>
      </c>
      <c r="L46" s="74"/>
      <c r="M46" s="74"/>
      <c r="N46" s="74"/>
      <c r="O46" s="74"/>
      <c r="P46" s="74"/>
      <c r="Q46" s="74"/>
      <c r="R46" s="75"/>
      <c r="S46" s="76" t="s">
        <v>49</v>
      </c>
      <c r="T46" s="77"/>
      <c r="U46" s="77"/>
      <c r="V46" s="77"/>
      <c r="W46" s="78"/>
      <c r="X46" s="12"/>
    </row>
    <row r="47" spans="2:27" x14ac:dyDescent="0.45"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2"/>
    </row>
    <row r="48" spans="2:27" x14ac:dyDescent="0.45">
      <c r="B48" s="10"/>
      <c r="C48" s="11" t="s">
        <v>81</v>
      </c>
      <c r="D48" s="11"/>
      <c r="E48" s="11"/>
      <c r="F48" s="11"/>
      <c r="G48" s="11"/>
      <c r="H48" s="11"/>
      <c r="I48" s="11"/>
      <c r="J48" s="11"/>
      <c r="K48" s="50">
        <v>10</v>
      </c>
      <c r="L48" s="51"/>
      <c r="M48" s="51"/>
      <c r="N48" s="51"/>
      <c r="O48" s="51"/>
      <c r="P48" s="51"/>
      <c r="Q48" s="51"/>
      <c r="R48" s="52"/>
      <c r="S48" s="11"/>
      <c r="T48" s="85" t="s">
        <v>67</v>
      </c>
      <c r="U48" s="86"/>
      <c r="V48" s="86"/>
      <c r="W48" s="87"/>
      <c r="X48" s="12"/>
      <c r="AA48" s="2" t="s">
        <v>70</v>
      </c>
    </row>
    <row r="49" spans="2:27" x14ac:dyDescent="0.45">
      <c r="B49" s="10"/>
      <c r="C49" s="11" t="s">
        <v>82</v>
      </c>
      <c r="D49" s="11"/>
      <c r="E49" s="11"/>
      <c r="F49" s="11"/>
      <c r="G49" s="11"/>
      <c r="H49" s="11"/>
      <c r="I49" s="11"/>
      <c r="J49" s="11"/>
      <c r="K49" s="53">
        <v>5.5</v>
      </c>
      <c r="L49" s="54"/>
      <c r="M49" s="54"/>
      <c r="N49" s="54"/>
      <c r="O49" s="54"/>
      <c r="P49" s="54"/>
      <c r="Q49" s="54"/>
      <c r="R49" s="55"/>
      <c r="S49" s="11"/>
      <c r="T49" s="11"/>
      <c r="U49" s="11"/>
      <c r="V49" s="11"/>
      <c r="W49" s="11"/>
      <c r="X49" s="12"/>
      <c r="AA49" s="2" t="s">
        <v>72</v>
      </c>
    </row>
    <row r="50" spans="2:27" x14ac:dyDescent="0.45">
      <c r="B50" s="10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2"/>
      <c r="AA50" s="2" t="s">
        <v>77</v>
      </c>
    </row>
    <row r="51" spans="2:27" x14ac:dyDescent="0.45">
      <c r="B51" s="10"/>
      <c r="C51" s="21" t="s">
        <v>52</v>
      </c>
      <c r="D51" s="30"/>
      <c r="E51" s="31"/>
      <c r="F51" s="21" t="s">
        <v>1</v>
      </c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1"/>
      <c r="S51" s="79" t="s">
        <v>80</v>
      </c>
      <c r="T51" s="80"/>
      <c r="U51" s="94" t="s">
        <v>76</v>
      </c>
      <c r="V51" s="95"/>
      <c r="W51" s="28" t="s">
        <v>53</v>
      </c>
      <c r="X51" s="12"/>
      <c r="AA51" s="2" t="s">
        <v>71</v>
      </c>
    </row>
    <row r="52" spans="2:27" x14ac:dyDescent="0.45">
      <c r="B52" s="10"/>
      <c r="C52" s="32" t="s">
        <v>54</v>
      </c>
      <c r="D52" s="27"/>
      <c r="E52" s="33"/>
      <c r="F52" s="26" t="s">
        <v>58</v>
      </c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81">
        <v>1</v>
      </c>
      <c r="T52" s="82"/>
      <c r="U52" s="83">
        <f>5.5/2</f>
        <v>2.75</v>
      </c>
      <c r="V52" s="84"/>
      <c r="W52" s="7"/>
      <c r="X52" s="12"/>
      <c r="AA52" s="2"/>
    </row>
    <row r="53" spans="2:27" x14ac:dyDescent="0.45">
      <c r="B53" s="10"/>
      <c r="C53" s="34" t="s">
        <v>55</v>
      </c>
      <c r="D53" s="35"/>
      <c r="E53" s="36"/>
      <c r="F53" s="37" t="s">
        <v>59</v>
      </c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99">
        <v>1</v>
      </c>
      <c r="T53" s="100"/>
      <c r="U53" s="56">
        <f>5.5/2</f>
        <v>2.75</v>
      </c>
      <c r="V53" s="57"/>
      <c r="W53" s="7"/>
      <c r="X53" s="12"/>
    </row>
    <row r="54" spans="2:27" x14ac:dyDescent="0.45">
      <c r="B54" s="10"/>
      <c r="C54" s="34" t="s">
        <v>56</v>
      </c>
      <c r="D54" s="35"/>
      <c r="E54" s="36"/>
      <c r="F54" s="37" t="s">
        <v>60</v>
      </c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99">
        <v>2</v>
      </c>
      <c r="T54" s="100"/>
      <c r="U54" s="56">
        <v>5.5</v>
      </c>
      <c r="V54" s="57"/>
      <c r="W54" s="7"/>
      <c r="X54" s="12"/>
    </row>
    <row r="55" spans="2:27" ht="14.65" x14ac:dyDescent="0.45">
      <c r="B55" s="10"/>
      <c r="C55" s="38" t="s">
        <v>57</v>
      </c>
      <c r="D55" s="39"/>
      <c r="E55" s="40"/>
      <c r="F55" s="41" t="s">
        <v>61</v>
      </c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101">
        <v>3</v>
      </c>
      <c r="T55" s="102"/>
      <c r="U55" s="58">
        <v>5.5</v>
      </c>
      <c r="V55" s="59"/>
      <c r="W55" s="29" t="s">
        <v>50</v>
      </c>
      <c r="X55" s="12"/>
    </row>
    <row r="56" spans="2:27" x14ac:dyDescent="0.45">
      <c r="B56" s="10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2"/>
    </row>
    <row r="57" spans="2:27" x14ac:dyDescent="0.45">
      <c r="B57" s="10"/>
      <c r="C57" s="66" t="s">
        <v>65</v>
      </c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12"/>
      <c r="AA57" s="2" t="s">
        <v>66</v>
      </c>
    </row>
    <row r="58" spans="2:27" x14ac:dyDescent="0.45">
      <c r="B58" s="10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2"/>
    </row>
    <row r="59" spans="2:27" x14ac:dyDescent="0.45">
      <c r="B59" s="10"/>
      <c r="C59" s="11"/>
      <c r="D59" s="11"/>
      <c r="E59" s="11"/>
      <c r="F59" s="11"/>
      <c r="G59" s="11"/>
      <c r="H59" s="11"/>
      <c r="I59" s="60" t="s">
        <v>63</v>
      </c>
      <c r="J59" s="61"/>
      <c r="K59" s="61"/>
      <c r="L59" s="61"/>
      <c r="M59" s="61"/>
      <c r="N59" s="61"/>
      <c r="O59" s="62"/>
      <c r="P59" s="11"/>
      <c r="Q59" s="60" t="s">
        <v>64</v>
      </c>
      <c r="R59" s="61"/>
      <c r="S59" s="61"/>
      <c r="T59" s="61"/>
      <c r="U59" s="61"/>
      <c r="V59" s="61"/>
      <c r="W59" s="62"/>
      <c r="X59" s="12"/>
    </row>
    <row r="60" spans="2:27" x14ac:dyDescent="0.45">
      <c r="B60" s="10"/>
      <c r="C60" s="11"/>
      <c r="D60" s="11"/>
      <c r="E60" s="11"/>
      <c r="F60" s="11"/>
      <c r="G60" s="11"/>
      <c r="H60" s="11"/>
      <c r="I60" s="63"/>
      <c r="J60" s="64"/>
      <c r="K60" s="64"/>
      <c r="L60" s="64"/>
      <c r="M60" s="64"/>
      <c r="N60" s="64"/>
      <c r="O60" s="65"/>
      <c r="P60" s="11"/>
      <c r="Q60" s="63"/>
      <c r="R60" s="64"/>
      <c r="S60" s="64"/>
      <c r="T60" s="64"/>
      <c r="U60" s="64"/>
      <c r="V60" s="64"/>
      <c r="W60" s="65"/>
      <c r="X60" s="12"/>
    </row>
    <row r="61" spans="2:27" x14ac:dyDescent="0.45">
      <c r="B61" s="1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5"/>
    </row>
    <row r="64" spans="2:27" x14ac:dyDescent="0.45"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8"/>
    </row>
    <row r="65" spans="2:24" x14ac:dyDescent="0.45">
      <c r="B65" s="10"/>
      <c r="C65" s="11" t="s">
        <v>29</v>
      </c>
      <c r="D65" s="11"/>
      <c r="E65" s="11"/>
      <c r="F65" s="11"/>
      <c r="G65" s="11"/>
      <c r="H65" s="11"/>
      <c r="I65" s="11"/>
      <c r="J65" s="11"/>
      <c r="K65" s="25" t="s">
        <v>32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9"/>
      <c r="X65" s="12"/>
    </row>
    <row r="66" spans="2:24" x14ac:dyDescent="0.45">
      <c r="B66" s="10"/>
      <c r="C66" s="11" t="s">
        <v>31</v>
      </c>
      <c r="D66" s="11"/>
      <c r="E66" s="11"/>
      <c r="F66" s="11"/>
      <c r="G66" s="11"/>
      <c r="H66" s="11"/>
      <c r="I66" s="11"/>
      <c r="J66" s="11"/>
      <c r="K66" s="21" t="s">
        <v>24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20"/>
      <c r="X66" s="12"/>
    </row>
    <row r="67" spans="2:24" x14ac:dyDescent="0.45">
      <c r="B67" s="10"/>
      <c r="C67" s="11" t="s">
        <v>33</v>
      </c>
      <c r="D67" s="11"/>
      <c r="E67" s="11"/>
      <c r="F67" s="11"/>
      <c r="G67" s="11"/>
      <c r="H67" s="11"/>
      <c r="I67" s="11"/>
      <c r="J67" s="11"/>
      <c r="K67" s="67" t="s">
        <v>34</v>
      </c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9"/>
      <c r="X67" s="12"/>
    </row>
    <row r="68" spans="2:24" x14ac:dyDescent="0.45">
      <c r="B68" s="10"/>
      <c r="C68" s="11"/>
      <c r="D68" s="11"/>
      <c r="E68" s="11"/>
      <c r="F68" s="11"/>
      <c r="G68" s="11"/>
      <c r="H68" s="11"/>
      <c r="I68" s="11"/>
      <c r="J68" s="11"/>
      <c r="K68" s="70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2"/>
      <c r="X68" s="12"/>
    </row>
    <row r="69" spans="2:24" x14ac:dyDescent="0.45">
      <c r="B69" s="10"/>
      <c r="C69" s="11" t="s">
        <v>25</v>
      </c>
      <c r="D69" s="11"/>
      <c r="E69" s="11"/>
      <c r="F69" s="11"/>
      <c r="G69" s="11"/>
      <c r="H69" s="11"/>
      <c r="I69" s="11"/>
      <c r="J69" s="11"/>
      <c r="K69" s="73">
        <v>12</v>
      </c>
      <c r="L69" s="74"/>
      <c r="M69" s="74"/>
      <c r="N69" s="74"/>
      <c r="O69" s="74"/>
      <c r="P69" s="74"/>
      <c r="Q69" s="74"/>
      <c r="R69" s="75"/>
      <c r="S69" s="76" t="s">
        <v>35</v>
      </c>
      <c r="T69" s="77"/>
      <c r="U69" s="77"/>
      <c r="V69" s="77"/>
      <c r="W69" s="78"/>
      <c r="X69" s="12"/>
    </row>
    <row r="70" spans="2:24" x14ac:dyDescent="0.45">
      <c r="B70" s="10"/>
      <c r="C70" s="11" t="s">
        <v>78</v>
      </c>
      <c r="D70" s="11"/>
      <c r="E70" s="11"/>
      <c r="F70" s="11"/>
      <c r="G70" s="11"/>
      <c r="H70" s="11"/>
      <c r="I70" s="11"/>
      <c r="J70" s="11"/>
      <c r="K70" s="24" t="s">
        <v>79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9"/>
      <c r="X70" s="12"/>
    </row>
    <row r="71" spans="2:24" x14ac:dyDescent="0.45">
      <c r="B71" s="10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2"/>
    </row>
    <row r="72" spans="2:24" x14ac:dyDescent="0.45">
      <c r="B72" s="10"/>
      <c r="C72" s="11" t="s">
        <v>36</v>
      </c>
      <c r="D72" s="11"/>
      <c r="E72" s="11"/>
      <c r="F72" s="11"/>
      <c r="G72" s="11"/>
      <c r="H72" s="11"/>
      <c r="I72" s="11"/>
      <c r="J72" s="11"/>
      <c r="K72" s="23"/>
      <c r="L72" s="11" t="s">
        <v>17</v>
      </c>
      <c r="M72" s="11"/>
      <c r="N72" s="11"/>
      <c r="O72" s="11"/>
      <c r="P72" s="11"/>
      <c r="Q72" s="23" t="s">
        <v>37</v>
      </c>
      <c r="R72" s="11" t="s">
        <v>18</v>
      </c>
      <c r="S72" s="11"/>
      <c r="T72" s="11"/>
      <c r="U72" s="11"/>
      <c r="V72" s="11"/>
      <c r="W72" s="11"/>
      <c r="X72" s="12"/>
    </row>
    <row r="73" spans="2:24" x14ac:dyDescent="0.45">
      <c r="B73" s="10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2"/>
    </row>
    <row r="74" spans="2:24" x14ac:dyDescent="0.45">
      <c r="B74" s="10"/>
      <c r="C74" s="11" t="s">
        <v>39</v>
      </c>
      <c r="D74" s="11"/>
      <c r="E74" s="11"/>
      <c r="F74" s="11"/>
      <c r="G74" s="11"/>
      <c r="H74" s="11"/>
      <c r="I74" s="11"/>
      <c r="J74" s="11"/>
      <c r="K74" s="24" t="s">
        <v>84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9"/>
      <c r="X74" s="12"/>
    </row>
    <row r="75" spans="2:24" x14ac:dyDescent="0.45">
      <c r="B75" s="10"/>
      <c r="C75" s="11" t="s">
        <v>41</v>
      </c>
      <c r="D75" s="11"/>
      <c r="E75" s="11"/>
      <c r="F75" s="11"/>
      <c r="G75" s="11"/>
      <c r="H75" s="11"/>
      <c r="I75" s="11"/>
      <c r="J75" s="11"/>
      <c r="K75" s="21" t="s">
        <v>19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20"/>
      <c r="X75" s="12"/>
    </row>
    <row r="76" spans="2:24" x14ac:dyDescent="0.45">
      <c r="B76" s="10"/>
      <c r="C76" s="11" t="s">
        <v>43</v>
      </c>
      <c r="D76" s="11"/>
      <c r="E76" s="11"/>
      <c r="F76" s="11"/>
      <c r="G76" s="11"/>
      <c r="H76" s="11"/>
      <c r="I76" s="11"/>
      <c r="J76" s="11"/>
      <c r="K76" s="42">
        <v>400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20"/>
      <c r="X76" s="12"/>
    </row>
    <row r="77" spans="2:24" x14ac:dyDescent="0.45">
      <c r="B77" s="10"/>
      <c r="C77" s="11" t="s">
        <v>45</v>
      </c>
      <c r="D77" s="11"/>
      <c r="E77" s="11"/>
      <c r="F77" s="11"/>
      <c r="G77" s="11"/>
      <c r="H77" s="11"/>
      <c r="I77" s="11"/>
      <c r="J77" s="11"/>
      <c r="K77" s="103" t="s">
        <v>28</v>
      </c>
      <c r="L77" s="74"/>
      <c r="M77" s="74"/>
      <c r="N77" s="74"/>
      <c r="O77" s="74"/>
      <c r="P77" s="74"/>
      <c r="Q77" s="74"/>
      <c r="R77" s="75"/>
      <c r="S77" s="76" t="s">
        <v>46</v>
      </c>
      <c r="T77" s="77"/>
      <c r="U77" s="77"/>
      <c r="V77" s="77"/>
      <c r="W77" s="78"/>
      <c r="X77" s="12"/>
    </row>
    <row r="78" spans="2:24" x14ac:dyDescent="0.45">
      <c r="B78" s="10"/>
      <c r="C78" s="11" t="s">
        <v>48</v>
      </c>
      <c r="D78" s="11"/>
      <c r="E78" s="11"/>
      <c r="F78" s="11"/>
      <c r="G78" s="11"/>
      <c r="H78" s="11"/>
      <c r="I78" s="11"/>
      <c r="J78" s="11"/>
      <c r="K78" s="73">
        <v>6.32</v>
      </c>
      <c r="L78" s="74"/>
      <c r="M78" s="74"/>
      <c r="N78" s="74"/>
      <c r="O78" s="74"/>
      <c r="P78" s="74"/>
      <c r="Q78" s="74"/>
      <c r="R78" s="75"/>
      <c r="S78" s="76" t="s">
        <v>49</v>
      </c>
      <c r="T78" s="77"/>
      <c r="U78" s="77"/>
      <c r="V78" s="77"/>
      <c r="W78" s="78"/>
      <c r="X78" s="12"/>
    </row>
    <row r="79" spans="2:24" x14ac:dyDescent="0.45">
      <c r="B79" s="10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2"/>
    </row>
    <row r="80" spans="2:24" x14ac:dyDescent="0.45">
      <c r="B80" s="10"/>
      <c r="C80" s="11" t="s">
        <v>81</v>
      </c>
      <c r="D80" s="11"/>
      <c r="E80" s="11"/>
      <c r="F80" s="11"/>
      <c r="G80" s="11"/>
      <c r="H80" s="11"/>
      <c r="I80" s="11"/>
      <c r="J80" s="11"/>
      <c r="K80" s="88">
        <v>400</v>
      </c>
      <c r="L80" s="89"/>
      <c r="M80" s="89"/>
      <c r="N80" s="89"/>
      <c r="O80" s="89"/>
      <c r="P80" s="89"/>
      <c r="Q80" s="89"/>
      <c r="R80" s="90"/>
      <c r="S80" s="11"/>
      <c r="T80" s="85" t="s">
        <v>67</v>
      </c>
      <c r="U80" s="86"/>
      <c r="V80" s="86"/>
      <c r="W80" s="87"/>
      <c r="X80" s="12"/>
    </row>
    <row r="81" spans="2:24" x14ac:dyDescent="0.45">
      <c r="B81" s="10"/>
      <c r="C81" s="11" t="s">
        <v>82</v>
      </c>
      <c r="D81" s="11"/>
      <c r="E81" s="11"/>
      <c r="F81" s="11"/>
      <c r="G81" s="11"/>
      <c r="H81" s="11"/>
      <c r="I81" s="11"/>
      <c r="J81" s="11"/>
      <c r="K81" s="91" t="s">
        <v>28</v>
      </c>
      <c r="L81" s="92"/>
      <c r="M81" s="92"/>
      <c r="N81" s="92"/>
      <c r="O81" s="92"/>
      <c r="P81" s="92"/>
      <c r="Q81" s="92"/>
      <c r="R81" s="93"/>
      <c r="S81" s="11"/>
      <c r="T81" s="11"/>
      <c r="U81" s="11"/>
      <c r="V81" s="11"/>
      <c r="W81" s="11"/>
      <c r="X81" s="12"/>
    </row>
    <row r="82" spans="2:24" x14ac:dyDescent="0.45">
      <c r="B82" s="10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2"/>
    </row>
    <row r="83" spans="2:24" x14ac:dyDescent="0.45">
      <c r="B83" s="10"/>
      <c r="C83" s="21" t="s">
        <v>52</v>
      </c>
      <c r="D83" s="30"/>
      <c r="E83" s="31"/>
      <c r="F83" s="21" t="s">
        <v>1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1"/>
      <c r="S83" s="79" t="s">
        <v>80</v>
      </c>
      <c r="T83" s="80"/>
      <c r="U83" s="94" t="s">
        <v>76</v>
      </c>
      <c r="V83" s="95"/>
      <c r="W83" s="28" t="s">
        <v>53</v>
      </c>
      <c r="X83" s="12"/>
    </row>
    <row r="84" spans="2:24" x14ac:dyDescent="0.45">
      <c r="B84" s="10"/>
      <c r="C84" s="32" t="s">
        <v>54</v>
      </c>
      <c r="D84" s="27"/>
      <c r="E84" s="33"/>
      <c r="F84" s="26" t="s">
        <v>58</v>
      </c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81">
        <v>15</v>
      </c>
      <c r="T84" s="82"/>
      <c r="U84" s="104" t="s">
        <v>28</v>
      </c>
      <c r="V84" s="84"/>
      <c r="W84" s="7"/>
      <c r="X84" s="12"/>
    </row>
    <row r="85" spans="2:24" x14ac:dyDescent="0.45">
      <c r="B85" s="10"/>
      <c r="C85" s="34" t="s">
        <v>55</v>
      </c>
      <c r="D85" s="35"/>
      <c r="E85" s="36"/>
      <c r="F85" s="37" t="s">
        <v>59</v>
      </c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99">
        <v>10</v>
      </c>
      <c r="T85" s="100"/>
      <c r="U85" s="105" t="s">
        <v>28</v>
      </c>
      <c r="V85" s="57"/>
      <c r="W85" s="7"/>
      <c r="X85" s="12"/>
    </row>
    <row r="86" spans="2:24" x14ac:dyDescent="0.45">
      <c r="B86" s="10"/>
      <c r="C86" s="34" t="s">
        <v>56</v>
      </c>
      <c r="D86" s="35"/>
      <c r="E86" s="36"/>
      <c r="F86" s="37" t="s">
        <v>60</v>
      </c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99">
        <v>25</v>
      </c>
      <c r="T86" s="100"/>
      <c r="U86" s="105" t="s">
        <v>28</v>
      </c>
      <c r="V86" s="57"/>
      <c r="W86" s="7"/>
      <c r="X86" s="12"/>
    </row>
    <row r="87" spans="2:24" ht="14.65" x14ac:dyDescent="0.45">
      <c r="B87" s="10"/>
      <c r="C87" s="38" t="s">
        <v>57</v>
      </c>
      <c r="D87" s="39"/>
      <c r="E87" s="40"/>
      <c r="F87" s="41" t="s">
        <v>61</v>
      </c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101">
        <v>30</v>
      </c>
      <c r="T87" s="102"/>
      <c r="U87" s="106" t="s">
        <v>28</v>
      </c>
      <c r="V87" s="59"/>
      <c r="W87" s="29" t="s">
        <v>50</v>
      </c>
      <c r="X87" s="12"/>
    </row>
    <row r="88" spans="2:24" x14ac:dyDescent="0.45">
      <c r="B88" s="10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2"/>
    </row>
    <row r="89" spans="2:24" x14ac:dyDescent="0.45">
      <c r="B89" s="10"/>
      <c r="C89" s="66" t="s">
        <v>65</v>
      </c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12"/>
    </row>
    <row r="90" spans="2:24" x14ac:dyDescent="0.45">
      <c r="B90" s="10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2"/>
    </row>
    <row r="91" spans="2:24" x14ac:dyDescent="0.45">
      <c r="B91" s="10"/>
      <c r="C91" s="11"/>
      <c r="D91" s="11"/>
      <c r="E91" s="11"/>
      <c r="F91" s="11"/>
      <c r="G91" s="11"/>
      <c r="H91" s="11"/>
      <c r="I91" s="60" t="s">
        <v>63</v>
      </c>
      <c r="J91" s="61"/>
      <c r="K91" s="61"/>
      <c r="L91" s="61"/>
      <c r="M91" s="61"/>
      <c r="N91" s="61"/>
      <c r="O91" s="62"/>
      <c r="P91" s="11"/>
      <c r="Q91" s="60" t="s">
        <v>64</v>
      </c>
      <c r="R91" s="61"/>
      <c r="S91" s="61"/>
      <c r="T91" s="61"/>
      <c r="U91" s="61"/>
      <c r="V91" s="61"/>
      <c r="W91" s="62"/>
      <c r="X91" s="12"/>
    </row>
    <row r="92" spans="2:24" x14ac:dyDescent="0.45">
      <c r="B92" s="10"/>
      <c r="C92" s="11"/>
      <c r="D92" s="11"/>
      <c r="E92" s="11"/>
      <c r="F92" s="11"/>
      <c r="G92" s="11"/>
      <c r="H92" s="11"/>
      <c r="I92" s="63"/>
      <c r="J92" s="64"/>
      <c r="K92" s="64"/>
      <c r="L92" s="64"/>
      <c r="M92" s="64"/>
      <c r="N92" s="64"/>
      <c r="O92" s="65"/>
      <c r="P92" s="11"/>
      <c r="Q92" s="63"/>
      <c r="R92" s="64"/>
      <c r="S92" s="64"/>
      <c r="T92" s="64"/>
      <c r="U92" s="64"/>
      <c r="V92" s="64"/>
      <c r="W92" s="65"/>
      <c r="X92" s="12"/>
    </row>
    <row r="93" spans="2:24" x14ac:dyDescent="0.45">
      <c r="B93" s="13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5"/>
    </row>
  </sheetData>
  <mergeCells count="70">
    <mergeCell ref="S85:T85"/>
    <mergeCell ref="U85:V85"/>
    <mergeCell ref="I91:O92"/>
    <mergeCell ref="Q91:W92"/>
    <mergeCell ref="S86:T86"/>
    <mergeCell ref="U86:V86"/>
    <mergeCell ref="S87:T87"/>
    <mergeCell ref="U87:V87"/>
    <mergeCell ref="C89:W89"/>
    <mergeCell ref="K81:R81"/>
    <mergeCell ref="S83:T83"/>
    <mergeCell ref="U83:V83"/>
    <mergeCell ref="S84:T84"/>
    <mergeCell ref="U84:V84"/>
    <mergeCell ref="K77:R77"/>
    <mergeCell ref="S77:W77"/>
    <mergeCell ref="K78:R78"/>
    <mergeCell ref="S78:W78"/>
    <mergeCell ref="K80:R80"/>
    <mergeCell ref="T80:W80"/>
    <mergeCell ref="S51:T51"/>
    <mergeCell ref="U51:V51"/>
    <mergeCell ref="K67:W68"/>
    <mergeCell ref="K69:R69"/>
    <mergeCell ref="S69:W69"/>
    <mergeCell ref="I59:O60"/>
    <mergeCell ref="Q59:W60"/>
    <mergeCell ref="C57:W57"/>
    <mergeCell ref="S52:T52"/>
    <mergeCell ref="U52:V52"/>
    <mergeCell ref="S53:T53"/>
    <mergeCell ref="U53:V53"/>
    <mergeCell ref="S54:T54"/>
    <mergeCell ref="U54:V54"/>
    <mergeCell ref="S55:T55"/>
    <mergeCell ref="U55:V55"/>
    <mergeCell ref="S15:W15"/>
    <mergeCell ref="S21:T21"/>
    <mergeCell ref="S22:T22"/>
    <mergeCell ref="S23:T23"/>
    <mergeCell ref="K45:R45"/>
    <mergeCell ref="S45:W45"/>
    <mergeCell ref="K5:W6"/>
    <mergeCell ref="K7:R7"/>
    <mergeCell ref="S7:W7"/>
    <mergeCell ref="K13:R13"/>
    <mergeCell ref="S13:W13"/>
    <mergeCell ref="S19:T19"/>
    <mergeCell ref="S20:T20"/>
    <mergeCell ref="U20:V20"/>
    <mergeCell ref="T18:W18"/>
    <mergeCell ref="K16:R16"/>
    <mergeCell ref="K17:R17"/>
    <mergeCell ref="U19:V19"/>
    <mergeCell ref="S16:W16"/>
    <mergeCell ref="S17:W17"/>
    <mergeCell ref="K48:R48"/>
    <mergeCell ref="K49:R49"/>
    <mergeCell ref="U21:V21"/>
    <mergeCell ref="U22:V22"/>
    <mergeCell ref="U23:V23"/>
    <mergeCell ref="I27:O28"/>
    <mergeCell ref="C25:W25"/>
    <mergeCell ref="K35:W36"/>
    <mergeCell ref="K37:R37"/>
    <mergeCell ref="S37:W37"/>
    <mergeCell ref="Q27:W28"/>
    <mergeCell ref="K46:R46"/>
    <mergeCell ref="S46:W46"/>
    <mergeCell ref="T48:W48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97DF-1F9D-44D8-9525-E4D89B0A3A89}">
  <dimension ref="A1"/>
  <sheetViews>
    <sheetView tabSelected="1" workbookViewId="0">
      <selection activeCell="R18" sqref="R18"/>
    </sheetView>
  </sheetViews>
  <sheetFormatPr baseColWidth="10" defaultRowHeight="14.25" x14ac:dyDescent="0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C911-43D6-4AE1-B37A-EBC3753B3391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MAESTROS</vt:lpstr>
      <vt:lpstr>INTERFAZ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Cantuarias</dc:creator>
  <cp:lastModifiedBy>Yan Cantuarias</cp:lastModifiedBy>
  <dcterms:created xsi:type="dcterms:W3CDTF">2026-06-24T21:55:29Z</dcterms:created>
  <dcterms:modified xsi:type="dcterms:W3CDTF">2026-07-01T14:42:03Z</dcterms:modified>
</cp:coreProperties>
</file>